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Jorge\Desktop\Universidad\Paradigmas\Tarea2\"/>
    </mc:Choice>
  </mc:AlternateContent>
  <xr:revisionPtr revIDLastSave="0" documentId="13_ncr:1_{F854F773-7DA5-426A-9D42-3E1DE3FD3F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5" i="1" l="1"/>
  <c r="S23" i="1"/>
  <c r="R19" i="1"/>
  <c r="R20" i="1"/>
  <c r="R21" i="1"/>
  <c r="R23" i="1"/>
  <c r="R24" i="1"/>
  <c r="Q19" i="1"/>
  <c r="Q20" i="1"/>
  <c r="Q21" i="1"/>
  <c r="Q22" i="1"/>
  <c r="Q23" i="1"/>
  <c r="Q24" i="1"/>
  <c r="Q25" i="1"/>
  <c r="P19" i="1"/>
  <c r="P20" i="1"/>
  <c r="P21" i="1"/>
  <c r="P22" i="1"/>
  <c r="P23" i="1"/>
  <c r="P24" i="1"/>
  <c r="O19" i="1"/>
  <c r="O20" i="1"/>
  <c r="O21" i="1"/>
  <c r="O22" i="1"/>
  <c r="O23" i="1"/>
  <c r="O24" i="1"/>
  <c r="O25" i="1"/>
  <c r="N19" i="1"/>
  <c r="N20" i="1"/>
  <c r="N21" i="1"/>
  <c r="N22" i="1"/>
  <c r="N23" i="1"/>
  <c r="N24" i="1"/>
  <c r="N25" i="1"/>
  <c r="R18" i="1"/>
  <c r="Q18" i="1"/>
  <c r="P18" i="1"/>
  <c r="O18" i="1"/>
  <c r="N18" i="1"/>
  <c r="M19" i="1"/>
  <c r="M20" i="1"/>
  <c r="M21" i="1"/>
  <c r="M22" i="1"/>
  <c r="M23" i="1"/>
  <c r="M24" i="1"/>
  <c r="M25" i="1"/>
  <c r="M18" i="1"/>
  <c r="C18" i="1"/>
  <c r="G24" i="1"/>
  <c r="I20" i="1"/>
  <c r="I21" i="1"/>
  <c r="H25" i="1"/>
  <c r="H24" i="1"/>
  <c r="H23" i="1"/>
  <c r="H22" i="1"/>
  <c r="H21" i="1"/>
  <c r="H20" i="1"/>
  <c r="H18" i="1"/>
  <c r="G25" i="1"/>
  <c r="G23" i="1"/>
  <c r="G22" i="1"/>
  <c r="G21" i="1"/>
  <c r="G20" i="1"/>
  <c r="G19" i="1"/>
  <c r="G18" i="1"/>
  <c r="F25" i="1"/>
  <c r="F24" i="1"/>
  <c r="F23" i="1"/>
  <c r="F22" i="1"/>
  <c r="F21" i="1"/>
  <c r="F20" i="1"/>
  <c r="F19" i="1"/>
  <c r="F18" i="1"/>
  <c r="E25" i="1"/>
  <c r="E24" i="1"/>
  <c r="E23" i="1"/>
  <c r="E22" i="1"/>
  <c r="E21" i="1"/>
  <c r="E20" i="1"/>
  <c r="E19" i="1"/>
  <c r="E18" i="1"/>
  <c r="D25" i="1"/>
  <c r="D24" i="1"/>
  <c r="D23" i="1"/>
  <c r="D22" i="1"/>
  <c r="D21" i="1"/>
  <c r="D20" i="1"/>
  <c r="D19" i="1"/>
  <c r="D18" i="1"/>
  <c r="C25" i="1"/>
  <c r="C24" i="1"/>
  <c r="C23" i="1"/>
  <c r="C22" i="1"/>
  <c r="C21" i="1"/>
  <c r="C20" i="1"/>
  <c r="C19" i="1"/>
  <c r="R13" i="1"/>
  <c r="S25" i="1" s="1"/>
  <c r="R12" i="1"/>
  <c r="I24" i="1" s="1"/>
  <c r="R11" i="1"/>
  <c r="I23" i="1" s="1"/>
  <c r="R10" i="1"/>
  <c r="I22" i="1" s="1"/>
  <c r="R9" i="1"/>
  <c r="S21" i="1" s="1"/>
  <c r="R8" i="1"/>
  <c r="S20" i="1" s="1"/>
  <c r="R7" i="1"/>
  <c r="I19" i="1" s="1"/>
  <c r="R6" i="1"/>
  <c r="I18" i="1" s="1"/>
  <c r="L13" i="1"/>
  <c r="R25" i="1" s="1"/>
  <c r="L12" i="1"/>
  <c r="L10" i="1"/>
  <c r="R22" i="1" s="1"/>
  <c r="L9" i="1"/>
  <c r="L8" i="1"/>
  <c r="L7" i="1"/>
  <c r="H19" i="1" s="1"/>
  <c r="S19" i="1" l="1"/>
  <c r="S24" i="1"/>
  <c r="S22" i="1"/>
  <c r="S18" i="1"/>
  <c r="I25" i="1"/>
</calcChain>
</file>

<file path=xl/sharedStrings.xml><?xml version="1.0" encoding="utf-8"?>
<sst xmlns="http://schemas.openxmlformats.org/spreadsheetml/2006/main" count="43" uniqueCount="27">
  <si>
    <t>n</t>
  </si>
  <si>
    <t>TIEMPO VS TAMAÑO</t>
  </si>
  <si>
    <t>CPU</t>
  </si>
  <si>
    <t>nt = 1</t>
  </si>
  <si>
    <t>nt = 2</t>
  </si>
  <si>
    <t>nt = 4</t>
  </si>
  <si>
    <t>nt = 6</t>
  </si>
  <si>
    <t>nt = 12</t>
  </si>
  <si>
    <t>nt = 8</t>
  </si>
  <si>
    <t>Tiempo promedio (s)</t>
  </si>
  <si>
    <t>GPU</t>
  </si>
  <si>
    <t>Speedup</t>
  </si>
  <si>
    <t>Secuencial</t>
  </si>
  <si>
    <t>S2</t>
  </si>
  <si>
    <t>S4</t>
  </si>
  <si>
    <t>S6</t>
  </si>
  <si>
    <t>S8</t>
  </si>
  <si>
    <t>S12</t>
  </si>
  <si>
    <t>Si (i = número de hilos utilizado)</t>
  </si>
  <si>
    <t>RAM</t>
  </si>
  <si>
    <t>Características PC: Lenovo Legion 5</t>
  </si>
  <si>
    <t>16 GB</t>
  </si>
  <si>
    <t xml:space="preserve">GPU </t>
  </si>
  <si>
    <t>AMD Ryzen 5 5600H, 6 Cores, 12 Threads</t>
  </si>
  <si>
    <t>Nvidia Geforce RTX 3060</t>
  </si>
  <si>
    <t>GPUsm</t>
  </si>
  <si>
    <t>Eficiencia respecto a alg. Secuencial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</si>
</sst>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%"/>
  </numFmts>
  <fonts count="9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333333"/>
      <name val="Times New Roman"/>
      <family val="1"/>
    </font>
    <font>
      <sz val="11"/>
      <color theme="1"/>
      <name val="Calibri"/>
      <family val="2"/>
      <scheme val="minor"/>
    </font>
    <font>
      <sz val="12"/>
      <color theme="0"/>
      <name val="Times New Roman"/>
      <family val="1"/>
    </font>
    <font>
      <b/>
      <sz val="12"/>
      <color theme="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F7661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4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164" fontId="1" fillId="0" borderId="1" xfId="0" applyNumberFormat="1" applyFont="1" applyBorder="1"/>
    <xf numFmtId="164" fontId="2" fillId="0" borderId="1" xfId="0" applyNumberFormat="1" applyFont="1" applyBorder="1"/>
    <xf numFmtId="164" fontId="6" fillId="2" borderId="1" xfId="0" applyNumberFormat="1" applyFont="1" applyFill="1" applyBorder="1" applyAlignment="1">
      <alignment horizontal="center"/>
    </xf>
    <xf numFmtId="164" fontId="5" fillId="3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" fillId="0" borderId="1" xfId="0" applyFont="1" applyBorder="1"/>
    <xf numFmtId="1" fontId="5" fillId="4" borderId="1" xfId="0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164" fontId="5" fillId="5" borderId="1" xfId="0" applyNumberFormat="1" applyFont="1" applyFill="1" applyBorder="1" applyAlignment="1">
      <alignment horizontal="center"/>
    </xf>
    <xf numFmtId="164" fontId="1" fillId="5" borderId="1" xfId="0" applyNumberFormat="1" applyFont="1" applyFill="1" applyBorder="1"/>
    <xf numFmtId="164" fontId="2" fillId="5" borderId="1" xfId="0" applyNumberFormat="1" applyFont="1" applyFill="1" applyBorder="1"/>
    <xf numFmtId="164" fontId="4" fillId="5" borderId="1" xfId="0" applyNumberFormat="1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165" fontId="1" fillId="0" borderId="1" xfId="1" applyNumberFormat="1" applyFont="1" applyBorder="1"/>
    <xf numFmtId="0" fontId="1" fillId="6" borderId="1" xfId="0" applyFont="1" applyFill="1" applyBorder="1"/>
    <xf numFmtId="0" fontId="8" fillId="6" borderId="1" xfId="0" applyFont="1" applyFill="1" applyBorder="1"/>
    <xf numFmtId="9" fontId="1" fillId="0" borderId="1" xfId="1" applyFont="1" applyBorder="1"/>
    <xf numFmtId="0" fontId="4" fillId="7" borderId="1" xfId="0" applyFont="1" applyFill="1" applyBorder="1" applyAlignment="1">
      <alignment horizontal="center"/>
    </xf>
    <xf numFmtId="164" fontId="1" fillId="0" borderId="1" xfId="0" applyNumberFormat="1" applyFont="1" applyBorder="1"/>
    <xf numFmtId="164" fontId="5" fillId="3" borderId="1" xfId="0" applyNumberFormat="1" applyFont="1" applyFill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7" fillId="6" borderId="1" xfId="0" applyFont="1" applyFill="1" applyBorder="1" applyAlignment="1">
      <alignment horizontal="center" vertical="center"/>
    </xf>
    <xf numFmtId="164" fontId="5" fillId="4" borderId="4" xfId="0" applyNumberFormat="1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164" fontId="1" fillId="0" borderId="2" xfId="0" applyNumberFormat="1" applyFont="1" applyBorder="1"/>
    <xf numFmtId="164" fontId="1" fillId="0" borderId="3" xfId="0" applyNumberFormat="1" applyFont="1" applyBorder="1"/>
    <xf numFmtId="164" fontId="1" fillId="0" borderId="4" xfId="0" applyNumberFormat="1" applyFont="1" applyBorder="1"/>
    <xf numFmtId="0" fontId="5" fillId="3" borderId="1" xfId="0" applyFont="1" applyFill="1" applyBorder="1" applyAlignment="1">
      <alignment horizontal="center"/>
    </xf>
    <xf numFmtId="0" fontId="1" fillId="0" borderId="1" xfId="0" applyFont="1" applyBorder="1"/>
    <xf numFmtId="0" fontId="8" fillId="0" borderId="1" xfId="0" applyFont="1" applyBorder="1"/>
    <xf numFmtId="0" fontId="1" fillId="6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FF0066"/>
      <color rgb="FFF76615"/>
      <color rgb="FF00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0"/>
  <sheetViews>
    <sheetView tabSelected="1" topLeftCell="A6" zoomScaleNormal="100" workbookViewId="0">
      <selection activeCell="T21" sqref="T21"/>
    </sheetView>
  </sheetViews>
  <sheetFormatPr baseColWidth="10" defaultColWidth="8.88671875" defaultRowHeight="14.4" x14ac:dyDescent="0.3"/>
  <cols>
    <col min="2" max="2" width="12.6640625" bestFit="1" customWidth="1"/>
    <col min="3" max="3" width="10.5546875" bestFit="1" customWidth="1"/>
    <col min="4" max="5" width="9.44140625" bestFit="1" customWidth="1"/>
    <col min="6" max="6" width="9.44140625" customWidth="1"/>
    <col min="7" max="7" width="9.44140625" bestFit="1" customWidth="1"/>
    <col min="8" max="8" width="9.44140625" customWidth="1"/>
    <col min="9" max="9" width="10.33203125" bestFit="1" customWidth="1"/>
    <col min="18" max="19" width="9.5546875" bestFit="1" customWidth="1"/>
  </cols>
  <sheetData>
    <row r="1" spans="1:20" ht="15.6" x14ac:dyDescent="0.3">
      <c r="A1" s="27" t="s">
        <v>1</v>
      </c>
      <c r="B1" s="27"/>
      <c r="C1" s="27"/>
    </row>
    <row r="2" spans="1:20" ht="15.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20" ht="15.6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20" ht="15.6" x14ac:dyDescent="0.3">
      <c r="A4" s="16" t="s">
        <v>2</v>
      </c>
      <c r="B4" s="28" t="s">
        <v>0</v>
      </c>
      <c r="C4" s="23" t="s">
        <v>9</v>
      </c>
      <c r="D4" s="23"/>
      <c r="E4" s="23"/>
      <c r="F4" s="23"/>
      <c r="G4" s="23"/>
      <c r="H4" s="23"/>
      <c r="I4" s="1"/>
      <c r="J4" s="16" t="s">
        <v>10</v>
      </c>
      <c r="O4" s="1"/>
      <c r="P4" s="16" t="s">
        <v>25</v>
      </c>
    </row>
    <row r="5" spans="1:20" ht="15.6" x14ac:dyDescent="0.3">
      <c r="A5" s="1"/>
      <c r="B5" s="29"/>
      <c r="C5" s="12" t="s">
        <v>3</v>
      </c>
      <c r="D5" s="7" t="s">
        <v>4</v>
      </c>
      <c r="E5" s="7" t="s">
        <v>5</v>
      </c>
      <c r="F5" s="7" t="s">
        <v>6</v>
      </c>
      <c r="G5" s="7" t="s">
        <v>8</v>
      </c>
      <c r="H5" s="7" t="s">
        <v>7</v>
      </c>
      <c r="I5" s="1"/>
      <c r="K5" s="11" t="s">
        <v>0</v>
      </c>
      <c r="L5" s="30" t="s">
        <v>9</v>
      </c>
      <c r="M5" s="31"/>
      <c r="N5" s="32"/>
      <c r="O5" s="1"/>
      <c r="Q5" s="11" t="s">
        <v>0</v>
      </c>
      <c r="R5" s="36" t="s">
        <v>9</v>
      </c>
      <c r="S5" s="36"/>
      <c r="T5" s="36"/>
    </row>
    <row r="6" spans="1:20" ht="15.6" x14ac:dyDescent="0.3">
      <c r="A6" s="1"/>
      <c r="B6" s="10">
        <v>8</v>
      </c>
      <c r="C6" s="13">
        <v>1.5E-5</v>
      </c>
      <c r="D6" s="4">
        <v>1.63E-4</v>
      </c>
      <c r="E6" s="4">
        <v>4.2099999999999999E-4</v>
      </c>
      <c r="F6" s="4">
        <v>1.2570000000000001E-3</v>
      </c>
      <c r="G6" s="4">
        <v>1.537E-3</v>
      </c>
      <c r="H6" s="4">
        <v>1.0620599999999999E-2</v>
      </c>
      <c r="I6" s="2"/>
      <c r="J6" s="1"/>
      <c r="K6" s="9">
        <v>8</v>
      </c>
      <c r="L6" s="33">
        <v>1.8000000000000001E-4</v>
      </c>
      <c r="M6" s="34"/>
      <c r="N6" s="35"/>
      <c r="O6" s="1"/>
      <c r="P6" s="1"/>
      <c r="Q6" s="9">
        <v>8</v>
      </c>
      <c r="R6" s="22">
        <f>AVERAGE(0.000072,0.000016,0.000061,0.000056,0.000016,0.000058)</f>
        <v>4.6499999999999999E-5</v>
      </c>
      <c r="S6" s="22"/>
      <c r="T6" s="22"/>
    </row>
    <row r="7" spans="1:20" ht="15.6" x14ac:dyDescent="0.3">
      <c r="A7" s="1"/>
      <c r="B7" s="10">
        <v>16</v>
      </c>
      <c r="C7" s="13">
        <v>6.0000000000000002E-6</v>
      </c>
      <c r="D7" s="4">
        <v>1.7799999999999999E-4</v>
      </c>
      <c r="E7" s="4">
        <v>3.7399999999999998E-4</v>
      </c>
      <c r="F7" s="4">
        <v>1.0529999999999999E-3</v>
      </c>
      <c r="G7" s="4">
        <v>1.681E-3</v>
      </c>
      <c r="H7" s="4">
        <v>9.5460000000000007E-3</v>
      </c>
      <c r="I7" s="1"/>
      <c r="J7" s="1"/>
      <c r="K7" s="9">
        <v>16</v>
      </c>
      <c r="L7" s="24">
        <f>AVERAGE(0.000013, 0.000061, 0.000066, 0.000084)</f>
        <v>5.5999999999999992E-5</v>
      </c>
      <c r="M7" s="25"/>
      <c r="N7" s="26"/>
      <c r="O7" s="1"/>
      <c r="P7" s="1"/>
      <c r="Q7" s="9">
        <v>16</v>
      </c>
      <c r="R7" s="22">
        <f>AVERAGE(0.000087,0.000063,0.00014,0.000134)</f>
        <v>1.06E-4</v>
      </c>
      <c r="S7" s="22"/>
      <c r="T7" s="22"/>
    </row>
    <row r="8" spans="1:20" ht="15.6" x14ac:dyDescent="0.3">
      <c r="A8" s="1"/>
      <c r="B8" s="10">
        <v>32</v>
      </c>
      <c r="C8" s="13">
        <v>2.5000000000000001E-5</v>
      </c>
      <c r="D8" s="4">
        <v>1.6799999999999999E-4</v>
      </c>
      <c r="E8" s="4">
        <v>4.1100000000000002E-4</v>
      </c>
      <c r="F8" s="4">
        <v>7.6000000000000004E-4</v>
      </c>
      <c r="G8" s="4">
        <v>1.3270000000000001E-3</v>
      </c>
      <c r="H8" s="4">
        <v>1.4860999999999999E-2</v>
      </c>
      <c r="I8" s="1"/>
      <c r="J8" s="1"/>
      <c r="K8" s="9">
        <v>32</v>
      </c>
      <c r="L8" s="24">
        <f>AVERAGE(0.000015, 0.000016, 0.00002, 0.000074, 0.000168)</f>
        <v>5.8599999999999995E-5</v>
      </c>
      <c r="M8" s="25"/>
      <c r="N8" s="26"/>
      <c r="O8" s="1"/>
      <c r="P8" s="1"/>
      <c r="Q8" s="9">
        <v>32</v>
      </c>
      <c r="R8" s="22">
        <f>AVERAGE(0.000063,0.000061,0.000008,0.000063,0.000094,0.000079)</f>
        <v>6.1333333333333338E-5</v>
      </c>
      <c r="S8" s="22"/>
      <c r="T8" s="22"/>
    </row>
    <row r="9" spans="1:20" ht="15.6" x14ac:dyDescent="0.3">
      <c r="A9" s="1"/>
      <c r="B9" s="10">
        <v>64</v>
      </c>
      <c r="C9" s="13">
        <v>1.8599999999999999E-4</v>
      </c>
      <c r="D9" s="4">
        <v>2.6400000000000002E-4</v>
      </c>
      <c r="E9" s="4">
        <v>4.46E-4</v>
      </c>
      <c r="F9" s="4">
        <v>1.0070000000000001E-3</v>
      </c>
      <c r="G9" s="4">
        <v>1.237E-3</v>
      </c>
      <c r="H9" s="4">
        <v>1.1894E-2</v>
      </c>
      <c r="I9" s="1"/>
      <c r="J9" s="1"/>
      <c r="K9" s="9">
        <v>64</v>
      </c>
      <c r="L9" s="24">
        <f>AVERAGE(0.00007,0.000066,0.000059)</f>
        <v>6.4999999999999994E-5</v>
      </c>
      <c r="M9" s="25"/>
      <c r="N9" s="26"/>
      <c r="O9" s="1"/>
      <c r="P9" s="1"/>
      <c r="Q9" s="9">
        <v>64</v>
      </c>
      <c r="R9" s="22">
        <f>AVERAGE(0.000062,0.000072,0.000085,0.000074)</f>
        <v>7.3250000000000005E-5</v>
      </c>
      <c r="S9" s="22"/>
      <c r="T9" s="22"/>
    </row>
    <row r="10" spans="1:20" ht="15.6" x14ac:dyDescent="0.3">
      <c r="A10" s="1"/>
      <c r="B10" s="10">
        <v>128</v>
      </c>
      <c r="C10" s="14">
        <v>2.9810000000000001E-3</v>
      </c>
      <c r="D10" s="5">
        <v>1.8730000000000001E-3</v>
      </c>
      <c r="E10" s="5">
        <v>1.9469999999999999E-3</v>
      </c>
      <c r="F10" s="5">
        <v>2.2669999999999999E-3</v>
      </c>
      <c r="G10" s="5">
        <v>2.7499999999999998E-3</v>
      </c>
      <c r="H10" s="5">
        <v>9.0969999999999992E-3</v>
      </c>
      <c r="I10" s="1"/>
      <c r="J10" s="1"/>
      <c r="K10" s="9">
        <v>128</v>
      </c>
      <c r="L10" s="24">
        <f>AVERAGE(0.000055,0.000016,0.000017, 0.000025,0.000112,0.000105)</f>
        <v>5.5000000000000002E-5</v>
      </c>
      <c r="M10" s="25"/>
      <c r="N10" s="26"/>
      <c r="O10" s="1"/>
      <c r="P10" s="1"/>
      <c r="Q10" s="9">
        <v>128</v>
      </c>
      <c r="R10" s="22">
        <f>AVERAGE(0.000066,0.000025,0.000078,0.000089)</f>
        <v>6.4499999999999996E-5</v>
      </c>
      <c r="S10" s="22"/>
      <c r="T10" s="22"/>
    </row>
    <row r="11" spans="1:20" ht="15.6" x14ac:dyDescent="0.3">
      <c r="A11" s="1"/>
      <c r="B11" s="10">
        <v>256</v>
      </c>
      <c r="C11" s="13">
        <v>2.7702000000000001E-2</v>
      </c>
      <c r="D11" s="4">
        <v>1.4525E-2</v>
      </c>
      <c r="E11" s="5">
        <v>9.3120000000000008E-3</v>
      </c>
      <c r="F11" s="5">
        <v>8.5009999999999999E-3</v>
      </c>
      <c r="G11" s="4">
        <v>1.0451999999999999E-2</v>
      </c>
      <c r="H11" s="5">
        <v>1.4836999999999999E-2</v>
      </c>
      <c r="I11" s="1"/>
      <c r="J11" s="1"/>
      <c r="K11" s="9">
        <v>256</v>
      </c>
      <c r="L11" s="24">
        <v>1.4200000000000001E-4</v>
      </c>
      <c r="M11" s="25"/>
      <c r="N11" s="26"/>
      <c r="O11" s="1"/>
      <c r="P11" s="1"/>
      <c r="Q11" s="9">
        <v>256</v>
      </c>
      <c r="R11" s="22">
        <f>AVERAGE(0.000162,0.000133,0.000105,0.000125)</f>
        <v>1.3125000000000002E-4</v>
      </c>
      <c r="S11" s="22"/>
      <c r="T11" s="22"/>
    </row>
    <row r="12" spans="1:20" ht="15.6" x14ac:dyDescent="0.3">
      <c r="A12" s="1"/>
      <c r="B12" s="10">
        <v>512</v>
      </c>
      <c r="C12" s="14">
        <v>0.50064900000000001</v>
      </c>
      <c r="D12" s="5">
        <v>0.230131</v>
      </c>
      <c r="E12" s="5">
        <v>0.11648799999999999</v>
      </c>
      <c r="F12" s="5">
        <v>7.9889000000000002E-2</v>
      </c>
      <c r="G12" s="4">
        <v>7.6069999999999999E-2</v>
      </c>
      <c r="H12" s="4">
        <v>8.8330000000000006E-2</v>
      </c>
      <c r="I12" s="1"/>
      <c r="J12" s="1"/>
      <c r="K12" s="9">
        <v>512</v>
      </c>
      <c r="L12" s="24">
        <f>AVERAGE(0.000501,0.000492,0.000514)</f>
        <v>5.0233333333333336E-4</v>
      </c>
      <c r="M12" s="25"/>
      <c r="N12" s="26"/>
      <c r="O12" s="1"/>
      <c r="P12" s="1"/>
      <c r="Q12" s="9">
        <v>512</v>
      </c>
      <c r="R12" s="22">
        <f>AVERAGE(0.00042,0.000444,0.000409,0.000438,0.000432)</f>
        <v>4.2860000000000001E-4</v>
      </c>
      <c r="S12" s="22"/>
      <c r="T12" s="22"/>
    </row>
    <row r="13" spans="1:20" ht="15.6" x14ac:dyDescent="0.3">
      <c r="A13" s="1"/>
      <c r="B13" s="10">
        <v>1024</v>
      </c>
      <c r="C13" s="13">
        <v>8.1410359999999997</v>
      </c>
      <c r="D13" s="6">
        <v>4.072476</v>
      </c>
      <c r="E13" s="4">
        <v>2.0818690000000002</v>
      </c>
      <c r="F13" s="4">
        <v>1.4491000000000001</v>
      </c>
      <c r="G13" s="4">
        <v>1.0508500000000001</v>
      </c>
      <c r="H13" s="4">
        <v>0.82155999999999996</v>
      </c>
      <c r="I13" s="1"/>
      <c r="J13" s="1"/>
      <c r="K13" s="9">
        <v>1024</v>
      </c>
      <c r="L13" s="24">
        <f>AVERAGE(0.003311,0.00323,0.003312)</f>
        <v>3.2843333333333335E-3</v>
      </c>
      <c r="M13" s="25"/>
      <c r="N13" s="26"/>
      <c r="O13" s="1"/>
      <c r="P13" s="1"/>
      <c r="Q13" s="9">
        <v>1024</v>
      </c>
      <c r="R13" s="22">
        <f>AVERAGE(0.002705,0.002693,0.002723,0.002693,0.002669)</f>
        <v>2.6966E-3</v>
      </c>
      <c r="S13" s="22"/>
      <c r="T13" s="22"/>
    </row>
    <row r="14" spans="1:20" ht="15.6" x14ac:dyDescent="0.3">
      <c r="A14" s="1"/>
      <c r="B14" s="3"/>
      <c r="C14" s="15" t="s">
        <v>12</v>
      </c>
      <c r="D14" s="3"/>
      <c r="E14" s="3"/>
      <c r="F14" s="3"/>
      <c r="G14" s="3"/>
      <c r="H14" s="3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20" ht="15.6" x14ac:dyDescent="0.3">
      <c r="A15" s="1"/>
      <c r="B15" s="3"/>
      <c r="C15" s="3"/>
      <c r="D15" s="3"/>
      <c r="E15" s="3"/>
      <c r="F15" s="3"/>
      <c r="G15" s="3"/>
      <c r="H15" s="3"/>
      <c r="I15" s="1"/>
      <c r="J15" s="1"/>
      <c r="K15" s="1"/>
      <c r="L15" s="1"/>
      <c r="M15" s="1"/>
      <c r="N15" s="1"/>
      <c r="O15" s="1"/>
      <c r="P15" s="1"/>
      <c r="Q15" s="1"/>
    </row>
    <row r="16" spans="1:20" ht="15.6" x14ac:dyDescent="0.3">
      <c r="B16" s="40" t="s">
        <v>0</v>
      </c>
      <c r="C16" s="36" t="s">
        <v>18</v>
      </c>
      <c r="D16" s="36"/>
      <c r="E16" s="36"/>
      <c r="F16" s="36"/>
      <c r="G16" s="36"/>
      <c r="H16" s="36"/>
      <c r="I16" s="36"/>
      <c r="J16" s="1"/>
      <c r="K16" s="42"/>
      <c r="L16" s="40" t="s">
        <v>0</v>
      </c>
      <c r="M16" s="43" t="s">
        <v>26</v>
      </c>
      <c r="N16" s="43"/>
      <c r="O16" s="43"/>
      <c r="P16" s="43"/>
      <c r="Q16" s="43"/>
      <c r="R16" s="43"/>
      <c r="S16" s="43"/>
    </row>
    <row r="17" spans="1:19" ht="15.6" x14ac:dyDescent="0.3">
      <c r="A17" s="16" t="s">
        <v>11</v>
      </c>
      <c r="B17" s="41"/>
      <c r="C17" s="8" t="s">
        <v>13</v>
      </c>
      <c r="D17" s="8" t="s">
        <v>14</v>
      </c>
      <c r="E17" s="8" t="s">
        <v>15</v>
      </c>
      <c r="F17" s="8" t="s">
        <v>16</v>
      </c>
      <c r="G17" s="8" t="s">
        <v>17</v>
      </c>
      <c r="H17" s="21" t="s">
        <v>10</v>
      </c>
      <c r="I17" s="21" t="s">
        <v>25</v>
      </c>
      <c r="J17" s="1"/>
      <c r="L17" s="40"/>
      <c r="M17" s="8" t="s">
        <v>4</v>
      </c>
      <c r="N17" s="8" t="s">
        <v>5</v>
      </c>
      <c r="O17" s="8" t="s">
        <v>6</v>
      </c>
      <c r="P17" s="8" t="s">
        <v>8</v>
      </c>
      <c r="Q17" s="8" t="s">
        <v>7</v>
      </c>
      <c r="R17" s="21" t="s">
        <v>10</v>
      </c>
      <c r="S17" s="21" t="s">
        <v>25</v>
      </c>
    </row>
    <row r="18" spans="1:19" ht="15.6" x14ac:dyDescent="0.3">
      <c r="A18" s="1"/>
      <c r="B18" s="11">
        <v>8</v>
      </c>
      <c r="C18" s="17">
        <f t="shared" ref="C18:C25" si="0">C6/D6</f>
        <v>9.202453987730061E-2</v>
      </c>
      <c r="D18" s="17">
        <f t="shared" ref="D18:D25" si="1">C6/E6</f>
        <v>3.5629453681710214E-2</v>
      </c>
      <c r="E18" s="17">
        <f t="shared" ref="E18:E25" si="2">C6/F6</f>
        <v>1.1933174224343675E-2</v>
      </c>
      <c r="F18" s="20">
        <f t="shared" ref="F18:F25" si="3">C6/G6</f>
        <v>9.7592713077423558E-3</v>
      </c>
      <c r="G18" s="17">
        <f t="shared" ref="G18:G25" si="4">C6/H6</f>
        <v>1.4123495847692222E-3</v>
      </c>
      <c r="H18" s="20">
        <f t="shared" ref="H18:H25" si="5">C6/L6</f>
        <v>8.3333333333333329E-2</v>
      </c>
      <c r="I18" s="20">
        <f>C6/R6</f>
        <v>0.32258064516129031</v>
      </c>
      <c r="J18" s="1"/>
      <c r="K18" s="1"/>
      <c r="L18" s="11">
        <v>8</v>
      </c>
      <c r="M18" s="17">
        <f>C6/D6-1</f>
        <v>-0.90797546012269936</v>
      </c>
      <c r="N18" s="17">
        <f>C6/E6-1</f>
        <v>-0.96437054631828978</v>
      </c>
      <c r="O18" s="17">
        <f>C6/F6-1</f>
        <v>-0.9880668257756563</v>
      </c>
      <c r="P18" s="20">
        <f>C6/G6-1</f>
        <v>-0.99024072869225765</v>
      </c>
      <c r="Q18" s="17">
        <f>C6/H6-1</f>
        <v>-0.99858765041523079</v>
      </c>
      <c r="R18" s="20">
        <f>C6/L6-1</f>
        <v>-0.91666666666666663</v>
      </c>
      <c r="S18" s="20">
        <f>C6/R6-1</f>
        <v>-0.67741935483870974</v>
      </c>
    </row>
    <row r="19" spans="1:19" ht="15.6" x14ac:dyDescent="0.3">
      <c r="A19" s="1"/>
      <c r="B19" s="11">
        <v>16</v>
      </c>
      <c r="C19" s="17">
        <f t="shared" si="0"/>
        <v>3.3707865168539332E-2</v>
      </c>
      <c r="D19" s="17">
        <f t="shared" si="1"/>
        <v>1.6042780748663103E-2</v>
      </c>
      <c r="E19" s="17">
        <f t="shared" si="2"/>
        <v>5.6980056980056983E-3</v>
      </c>
      <c r="F19" s="17">
        <f t="shared" si="3"/>
        <v>3.569303985722784E-3</v>
      </c>
      <c r="G19" s="17">
        <f t="shared" si="4"/>
        <v>6.285355122564425E-4</v>
      </c>
      <c r="H19" s="20">
        <f t="shared" si="5"/>
        <v>0.10714285714285716</v>
      </c>
      <c r="I19" s="20">
        <f>C7/R7</f>
        <v>5.6603773584905662E-2</v>
      </c>
      <c r="J19" s="1"/>
      <c r="K19" s="1"/>
      <c r="L19" s="11">
        <v>16</v>
      </c>
      <c r="M19" s="17">
        <f t="shared" ref="M19:M25" si="6">C7/D7-1</f>
        <v>-0.9662921348314607</v>
      </c>
      <c r="N19" s="17">
        <f t="shared" ref="N19:N25" si="7">C7/E7-1</f>
        <v>-0.98395721925133695</v>
      </c>
      <c r="O19" s="17">
        <f t="shared" ref="O19:O25" si="8">C7/F7-1</f>
        <v>-0.99430199430199429</v>
      </c>
      <c r="P19" s="20">
        <f t="shared" ref="P19:P24" si="9">C7/G7-1</f>
        <v>-0.99643069601427725</v>
      </c>
      <c r="Q19" s="17">
        <f t="shared" ref="Q19:Q25" si="10">C7/H7-1</f>
        <v>-0.99937146448774361</v>
      </c>
      <c r="R19" s="20">
        <f t="shared" ref="R19:R24" si="11">C7/L7-1</f>
        <v>-0.89285714285714279</v>
      </c>
      <c r="S19" s="20">
        <f t="shared" ref="S19:S23" si="12">C7/R7-1</f>
        <v>-0.94339622641509435</v>
      </c>
    </row>
    <row r="20" spans="1:19" ht="15.6" x14ac:dyDescent="0.3">
      <c r="A20" s="1"/>
      <c r="B20" s="11">
        <v>32</v>
      </c>
      <c r="C20" s="17">
        <f t="shared" si="0"/>
        <v>0.14880952380952384</v>
      </c>
      <c r="D20" s="17">
        <f t="shared" si="1"/>
        <v>6.0827250608272508E-2</v>
      </c>
      <c r="E20" s="17">
        <f t="shared" si="2"/>
        <v>3.2894736842105261E-2</v>
      </c>
      <c r="F20" s="17">
        <f t="shared" si="3"/>
        <v>1.8839487565938208E-2</v>
      </c>
      <c r="G20" s="17">
        <f t="shared" si="4"/>
        <v>1.6822555682659312E-3</v>
      </c>
      <c r="H20" s="20">
        <f t="shared" si="5"/>
        <v>0.42662116040955639</v>
      </c>
      <c r="I20" s="20">
        <f t="shared" ref="I20:I25" si="13">C8/R8</f>
        <v>0.40760869565217389</v>
      </c>
      <c r="J20" s="1"/>
      <c r="K20" s="1"/>
      <c r="L20" s="11">
        <v>32</v>
      </c>
      <c r="M20" s="17">
        <f t="shared" si="6"/>
        <v>-0.85119047619047616</v>
      </c>
      <c r="N20" s="17">
        <f t="shared" si="7"/>
        <v>-0.93917274939172746</v>
      </c>
      <c r="O20" s="17">
        <f t="shared" si="8"/>
        <v>-0.96710526315789469</v>
      </c>
      <c r="P20" s="20">
        <f t="shared" si="9"/>
        <v>-0.98116051243406177</v>
      </c>
      <c r="Q20" s="17">
        <f t="shared" si="10"/>
        <v>-0.99831774443173404</v>
      </c>
      <c r="R20" s="20">
        <f t="shared" si="11"/>
        <v>-0.57337883959044356</v>
      </c>
      <c r="S20" s="20">
        <f t="shared" si="12"/>
        <v>-0.59239130434782616</v>
      </c>
    </row>
    <row r="21" spans="1:19" ht="15.6" x14ac:dyDescent="0.3">
      <c r="A21" s="1"/>
      <c r="B21" s="11">
        <v>64</v>
      </c>
      <c r="C21" s="17">
        <f t="shared" si="0"/>
        <v>0.70454545454545447</v>
      </c>
      <c r="D21" s="17">
        <f t="shared" si="1"/>
        <v>0.4170403587443946</v>
      </c>
      <c r="E21" s="17">
        <f t="shared" si="2"/>
        <v>0.1847070506454816</v>
      </c>
      <c r="F21" s="17">
        <f t="shared" si="3"/>
        <v>0.15036378334680678</v>
      </c>
      <c r="G21" s="17">
        <f t="shared" si="4"/>
        <v>1.5638136875735665E-2</v>
      </c>
      <c r="H21" s="20">
        <f t="shared" si="5"/>
        <v>2.8615384615384616</v>
      </c>
      <c r="I21" s="20">
        <f t="shared" si="13"/>
        <v>2.5392491467576788</v>
      </c>
      <c r="J21" s="1"/>
      <c r="K21" s="1"/>
      <c r="L21" s="11">
        <v>64</v>
      </c>
      <c r="M21" s="17">
        <f t="shared" si="6"/>
        <v>-0.29545454545454553</v>
      </c>
      <c r="N21" s="17">
        <f t="shared" si="7"/>
        <v>-0.5829596412556054</v>
      </c>
      <c r="O21" s="17">
        <f t="shared" si="8"/>
        <v>-0.81529294935451846</v>
      </c>
      <c r="P21" s="20">
        <f t="shared" si="9"/>
        <v>-0.84963621665319322</v>
      </c>
      <c r="Q21" s="17">
        <f t="shared" si="10"/>
        <v>-0.98436186312426432</v>
      </c>
      <c r="R21" s="20">
        <f t="shared" si="11"/>
        <v>1.8615384615384616</v>
      </c>
      <c r="S21" s="20">
        <f t="shared" si="12"/>
        <v>1.5392491467576788</v>
      </c>
    </row>
    <row r="22" spans="1:19" ht="15.6" x14ac:dyDescent="0.3">
      <c r="A22" s="1"/>
      <c r="B22" s="11">
        <v>128</v>
      </c>
      <c r="C22" s="17">
        <f t="shared" si="0"/>
        <v>1.591564335290977</v>
      </c>
      <c r="D22" s="17">
        <f t="shared" si="1"/>
        <v>1.5310734463276838</v>
      </c>
      <c r="E22" s="17">
        <f t="shared" si="2"/>
        <v>1.3149536832818705</v>
      </c>
      <c r="F22" s="17">
        <f t="shared" si="3"/>
        <v>1.0840000000000001</v>
      </c>
      <c r="G22" s="17">
        <f t="shared" si="4"/>
        <v>0.32769044740024189</v>
      </c>
      <c r="H22" s="20">
        <f t="shared" si="5"/>
        <v>54.2</v>
      </c>
      <c r="I22" s="20">
        <f t="shared" si="13"/>
        <v>46.217054263565899</v>
      </c>
      <c r="J22" s="1"/>
      <c r="K22" s="1"/>
      <c r="L22" s="11">
        <v>128</v>
      </c>
      <c r="M22" s="17">
        <f t="shared" si="6"/>
        <v>0.59156433529097696</v>
      </c>
      <c r="N22" s="17">
        <f t="shared" si="7"/>
        <v>0.53107344632768383</v>
      </c>
      <c r="O22" s="17">
        <f t="shared" si="8"/>
        <v>0.31495368328187046</v>
      </c>
      <c r="P22" s="20">
        <f t="shared" si="9"/>
        <v>8.4000000000000075E-2</v>
      </c>
      <c r="Q22" s="17">
        <f t="shared" si="10"/>
        <v>-0.67230955259975811</v>
      </c>
      <c r="R22" s="20">
        <f t="shared" si="11"/>
        <v>53.2</v>
      </c>
      <c r="S22" s="20">
        <f t="shared" si="12"/>
        <v>45.217054263565899</v>
      </c>
    </row>
    <row r="23" spans="1:19" ht="15.6" x14ac:dyDescent="0.3">
      <c r="A23" s="1"/>
      <c r="B23" s="11">
        <v>256</v>
      </c>
      <c r="C23" s="17">
        <f t="shared" si="0"/>
        <v>1.9071944922547333</v>
      </c>
      <c r="D23" s="17">
        <f t="shared" si="1"/>
        <v>2.9748711340206184</v>
      </c>
      <c r="E23" s="17">
        <f t="shared" si="2"/>
        <v>3.2586754499470652</v>
      </c>
      <c r="F23" s="17">
        <f t="shared" si="3"/>
        <v>2.6504018369690012</v>
      </c>
      <c r="G23" s="17">
        <f t="shared" si="4"/>
        <v>1.8670890341713287</v>
      </c>
      <c r="H23" s="20">
        <f t="shared" si="5"/>
        <v>195.08450704225351</v>
      </c>
      <c r="I23" s="20">
        <f t="shared" si="13"/>
        <v>211.06285714285713</v>
      </c>
      <c r="J23" s="1"/>
      <c r="K23" s="1"/>
      <c r="L23" s="11">
        <v>256</v>
      </c>
      <c r="M23" s="17">
        <f t="shared" si="6"/>
        <v>0.90719449225473325</v>
      </c>
      <c r="N23" s="17">
        <f t="shared" si="7"/>
        <v>1.9748711340206184</v>
      </c>
      <c r="O23" s="17">
        <f t="shared" si="8"/>
        <v>2.2586754499470652</v>
      </c>
      <c r="P23" s="20">
        <f t="shared" si="9"/>
        <v>1.6504018369690012</v>
      </c>
      <c r="Q23" s="17">
        <f t="shared" si="10"/>
        <v>0.86708903417132865</v>
      </c>
      <c r="R23" s="20">
        <f t="shared" si="11"/>
        <v>194.08450704225351</v>
      </c>
      <c r="S23" s="20">
        <f t="shared" si="12"/>
        <v>210.06285714285713</v>
      </c>
    </row>
    <row r="24" spans="1:19" ht="15.6" x14ac:dyDescent="0.3">
      <c r="A24" s="1"/>
      <c r="B24" s="11">
        <v>512</v>
      </c>
      <c r="C24" s="17">
        <f t="shared" si="0"/>
        <v>2.1754956959297096</v>
      </c>
      <c r="D24" s="17">
        <f t="shared" si="1"/>
        <v>4.2978590069363367</v>
      </c>
      <c r="E24" s="17">
        <f t="shared" si="2"/>
        <v>6.2668076956777528</v>
      </c>
      <c r="F24" s="17">
        <f t="shared" si="3"/>
        <v>6.581425003286447</v>
      </c>
      <c r="G24" s="17">
        <f t="shared" si="4"/>
        <v>5.667938412770293</v>
      </c>
      <c r="H24" s="20">
        <f t="shared" si="5"/>
        <v>996.64698075646982</v>
      </c>
      <c r="I24" s="20">
        <f t="shared" si="13"/>
        <v>1168.1031264582361</v>
      </c>
      <c r="J24" s="1"/>
      <c r="K24" s="1"/>
      <c r="L24" s="11">
        <v>512</v>
      </c>
      <c r="M24" s="17">
        <f t="shared" si="6"/>
        <v>1.1754956959297096</v>
      </c>
      <c r="N24" s="17">
        <f t="shared" si="7"/>
        <v>3.2978590069363367</v>
      </c>
      <c r="O24" s="17">
        <f t="shared" si="8"/>
        <v>5.2668076956777528</v>
      </c>
      <c r="P24" s="20">
        <f t="shared" si="9"/>
        <v>5.581425003286447</v>
      </c>
      <c r="Q24" s="17">
        <f t="shared" si="10"/>
        <v>4.667938412770293</v>
      </c>
      <c r="R24" s="20">
        <f t="shared" si="11"/>
        <v>995.64698075646982</v>
      </c>
      <c r="S24" s="20">
        <f>(C12/R12)-1</f>
        <v>1167.1031264582361</v>
      </c>
    </row>
    <row r="25" spans="1:19" ht="15.6" x14ac:dyDescent="0.3">
      <c r="A25" s="1"/>
      <c r="B25" s="11">
        <v>1024</v>
      </c>
      <c r="C25" s="17">
        <f t="shared" si="0"/>
        <v>1.9990384228169791</v>
      </c>
      <c r="D25" s="17">
        <f t="shared" si="1"/>
        <v>3.9104458541819871</v>
      </c>
      <c r="E25" s="17">
        <f t="shared" si="2"/>
        <v>5.6179946173486988</v>
      </c>
      <c r="F25" s="17">
        <f t="shared" si="3"/>
        <v>7.7470961602512247</v>
      </c>
      <c r="G25" s="17">
        <f t="shared" si="4"/>
        <v>9.9092409562296115</v>
      </c>
      <c r="H25" s="20">
        <f t="shared" si="5"/>
        <v>2478.7484015020805</v>
      </c>
      <c r="I25" s="20">
        <f t="shared" si="13"/>
        <v>3019.0002225024105</v>
      </c>
      <c r="J25" s="1"/>
      <c r="K25" s="1"/>
      <c r="L25" s="11">
        <v>1024</v>
      </c>
      <c r="M25" s="17">
        <f t="shared" si="6"/>
        <v>0.99903842281697908</v>
      </c>
      <c r="N25" s="17">
        <f t="shared" si="7"/>
        <v>2.9104458541819871</v>
      </c>
      <c r="O25" s="17">
        <f t="shared" si="8"/>
        <v>4.6179946173486988</v>
      </c>
      <c r="P25" s="20">
        <f>(C13/G13)-1</f>
        <v>6.7470961602512247</v>
      </c>
      <c r="Q25" s="17">
        <f t="shared" si="10"/>
        <v>8.9092409562296115</v>
      </c>
      <c r="R25" s="20">
        <f>(C13/L13)-1</f>
        <v>2477.7484015020805</v>
      </c>
      <c r="S25" s="20">
        <f>(C13/R13)-1</f>
        <v>3018.0002225024105</v>
      </c>
    </row>
    <row r="26" spans="1:19" ht="15.6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9" ht="15.6" x14ac:dyDescent="0.3">
      <c r="A27" s="39" t="s">
        <v>20</v>
      </c>
      <c r="B27" s="39"/>
      <c r="C27" s="39"/>
      <c r="D27" s="39"/>
      <c r="E27" s="39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9" ht="15.6" x14ac:dyDescent="0.3">
      <c r="A28" s="18" t="s">
        <v>2</v>
      </c>
      <c r="B28" s="37" t="s">
        <v>23</v>
      </c>
      <c r="C28" s="37"/>
      <c r="D28" s="37"/>
      <c r="E28" s="37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9" x14ac:dyDescent="0.3">
      <c r="A29" s="19" t="s">
        <v>19</v>
      </c>
      <c r="B29" s="38" t="s">
        <v>21</v>
      </c>
      <c r="C29" s="38"/>
      <c r="D29" s="38"/>
      <c r="E29" s="38"/>
    </row>
    <row r="30" spans="1:19" ht="15.6" x14ac:dyDescent="0.3">
      <c r="A30" s="18" t="s">
        <v>22</v>
      </c>
      <c r="B30" s="38" t="s">
        <v>24</v>
      </c>
      <c r="C30" s="38"/>
      <c r="D30" s="38"/>
      <c r="E30" s="38"/>
    </row>
  </sheetData>
  <mergeCells count="29">
    <mergeCell ref="L16:L17"/>
    <mergeCell ref="M16:S16"/>
    <mergeCell ref="B28:E28"/>
    <mergeCell ref="B29:E29"/>
    <mergeCell ref="B30:E30"/>
    <mergeCell ref="A27:E27"/>
    <mergeCell ref="B16:B17"/>
    <mergeCell ref="C16:I16"/>
    <mergeCell ref="A1:C1"/>
    <mergeCell ref="B4:B5"/>
    <mergeCell ref="L5:N5"/>
    <mergeCell ref="L6:N6"/>
    <mergeCell ref="L7:N7"/>
    <mergeCell ref="R10:T10"/>
    <mergeCell ref="R11:T11"/>
    <mergeCell ref="R12:T12"/>
    <mergeCell ref="R13:T13"/>
    <mergeCell ref="C4:H4"/>
    <mergeCell ref="L13:N13"/>
    <mergeCell ref="L9:N9"/>
    <mergeCell ref="L10:N10"/>
    <mergeCell ref="L11:N11"/>
    <mergeCell ref="L12:N12"/>
    <mergeCell ref="L8:N8"/>
    <mergeCell ref="R5:T5"/>
    <mergeCell ref="R6:T6"/>
    <mergeCell ref="R7:T7"/>
    <mergeCell ref="R8:T8"/>
    <mergeCell ref="R9:T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</dc:creator>
  <cp:lastModifiedBy>Jorge Cheuquemán S.</cp:lastModifiedBy>
  <dcterms:created xsi:type="dcterms:W3CDTF">2015-06-05T18:19:34Z</dcterms:created>
  <dcterms:modified xsi:type="dcterms:W3CDTF">2025-12-19T19:08:01Z</dcterms:modified>
</cp:coreProperties>
</file>